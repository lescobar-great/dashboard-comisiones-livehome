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i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7"/>
    </font>
    <font>
      <name val="Arial"/>
      <b val="1"/>
      <color rgb="001F3864"/>
      <sz val="12"/>
    </font>
    <font>
      <name val="Arial"/>
      <b val="1"/>
      <color rgb="002E75B6"/>
      <sz val="11"/>
    </font>
    <font>
      <name val="Arial"/>
      <b val="1"/>
      <color rgb="00375623"/>
      <sz val="12"/>
    </font>
    <font>
      <name val="Arial"/>
      <b val="1"/>
      <color rgb="00538135"/>
      <sz val="11"/>
    </font>
    <font>
      <name val="Arial"/>
      <b val="1"/>
      <color rgb="007B0000"/>
      <sz val="12"/>
    </font>
    <font>
      <name val="Arial"/>
      <b val="1"/>
      <color rgb="00C00000"/>
      <sz val="11"/>
    </font>
    <font>
      <name val="Arial"/>
      <b val="1"/>
      <color rgb="004B0082"/>
      <sz val="12"/>
    </font>
    <font>
      <name val="Arial"/>
      <b val="1"/>
      <color rgb="007030A0"/>
      <sz val="11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888888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538135"/>
      </patternFill>
    </fill>
    <fill>
      <patternFill patternType="solid">
        <fgColor rgb="00E2EFDA"/>
      </patternFill>
    </fill>
    <fill>
      <patternFill patternType="solid">
        <fgColor rgb="007B0000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4B0082"/>
      </patternFill>
    </fill>
    <fill>
      <patternFill patternType="solid">
        <fgColor rgb="007030A0"/>
      </patternFill>
    </fill>
    <fill>
      <patternFill patternType="solid">
        <fgColor rgb="00EAD1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3" fontId="10" fillId="11" borderId="1" applyAlignment="1" pivotButton="0" quotePrefix="0" xfId="0">
      <alignment horizontal="right" vertical="center"/>
    </xf>
    <xf numFmtId="3" fontId="12" fillId="1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3" fontId="15" fillId="5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3" fontId="15" fillId="8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0" fontId="15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3" fontId="15" fillId="11" borderId="1" applyAlignment="1" pivotButton="0" quotePrefix="0" xfId="0">
      <alignment horizontal="right" vertical="center"/>
    </xf>
    <xf numFmtId="164" fontId="15" fillId="11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3" fontId="15" fillId="14" borderId="1" applyAlignment="1" pivotButton="0" quotePrefix="0" xfId="0">
      <alignment horizontal="right" vertical="center"/>
    </xf>
    <xf numFmtId="164" fontId="15" fillId="14" borderId="1" applyAlignment="1" pivotButton="0" quotePrefix="0" xfId="0">
      <alignment horizontal="right" vertical="center"/>
    </xf>
    <xf numFmtId="0" fontId="16" fillId="2" borderId="2" applyAlignment="1" pivotButton="0" quotePrefix="0" xfId="0">
      <alignment horizontal="left" vertical="center"/>
    </xf>
    <xf numFmtId="0" fontId="16" fillId="2" borderId="2" applyAlignment="1" pivotButton="0" quotePrefix="0" xfId="0">
      <alignment horizontal="center" vertical="center"/>
    </xf>
    <xf numFmtId="3" fontId="16" fillId="2" borderId="2" applyAlignment="1" pivotButton="0" quotePrefix="0" xfId="0">
      <alignment horizontal="right" vertical="center"/>
    </xf>
    <xf numFmtId="164" fontId="16" fillId="2" borderId="2" applyAlignment="1" pivotButton="0" quotePrefix="0" xfId="0">
      <alignment horizontal="right" vertical="center"/>
    </xf>
    <xf numFmtId="0" fontId="15" fillId="5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right" vertical="center"/>
    </xf>
    <xf numFmtId="0" fontId="15" fillId="11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Comisión Total por Vendedor — Mayo 2026</a:t>
            </a:r>
          </a:p>
        </rich>
      </tx>
    </title>
    <plotArea>
      <barChart>
        <barDir val="col"/>
        <grouping val="clustered"/>
        <ser>
          <idx val="0"/>
          <order val="0"/>
          <tx>
            <v>Comisión ($)</v>
          </tx>
          <spPr>
            <a:ln>
              <a:prstDash val="solid"/>
            </a:ln>
          </spPr>
          <cat>
            <numRef>
              <f>'Resumen Comisiones'!$B$18:$B$21</f>
            </numRef>
          </cat>
          <val>
            <numRef>
              <f>'Resumen Comisiones'!$E$18:$E$21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Comisión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31</row>
      <rowOff>0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8" customHeight="1"/>
    <row r="2" ht="42" customHeight="1">
      <c r="B2" s="1" t="inlineStr">
        <is>
          <t xml:space="preserve">  COMISIONES MAYO 2026  —  LIVEHOME SPA</t>
        </is>
      </c>
    </row>
    <row r="3" ht="8" customHeight="1"/>
    <row r="4" ht="20" customHeight="1">
      <c r="B4" s="2" t="inlineStr">
        <is>
          <t xml:space="preserve">  KPIs POR VENDEDOR</t>
        </is>
      </c>
    </row>
    <row r="5" ht="18" customHeight="1">
      <c r="C5" s="3" t="inlineStr">
        <is>
          <t>KATY</t>
        </is>
      </c>
      <c r="D5" s="4" t="inlineStr">
        <is>
          <t>PABLO FARIZO</t>
        </is>
      </c>
      <c r="E5" s="5" t="inlineStr">
        <is>
          <t>JAIME</t>
        </is>
      </c>
      <c r="F5" s="6" t="inlineStr">
        <is>
          <t>NIKO</t>
        </is>
      </c>
    </row>
    <row r="6" ht="28" customHeight="1">
      <c r="C6" s="7" t="inlineStr">
        <is>
          <t>PERÍODO</t>
        </is>
      </c>
      <c r="D6" s="8" t="inlineStr">
        <is>
          <t>PERÍODO</t>
        </is>
      </c>
      <c r="E6" s="9" t="inlineStr">
        <is>
          <t>PERÍODO</t>
        </is>
      </c>
      <c r="F6" s="10" t="inlineStr">
        <is>
          <t>PERÍODO</t>
        </is>
      </c>
    </row>
    <row r="7" ht="18" customHeight="1">
      <c r="C7" s="11" t="inlineStr">
        <is>
          <t>01/05 – 29/05</t>
        </is>
      </c>
      <c r="D7" s="12" t="inlineStr">
        <is>
          <t>01/05 – 28/05</t>
        </is>
      </c>
      <c r="E7" s="13" t="inlineStr">
        <is>
          <t>01/05 – 31/05</t>
        </is>
      </c>
      <c r="F7" s="14" t="inlineStr">
        <is>
          <t>01/05 – 31/05</t>
        </is>
      </c>
    </row>
    <row r="8" ht="28" customHeight="1">
      <c r="C8" s="7" t="inlineStr">
        <is>
          <t>VENTA NETA ($)</t>
        </is>
      </c>
      <c r="D8" s="8" t="inlineStr">
        <is>
          <t>VENTA NETA ($)</t>
        </is>
      </c>
      <c r="E8" s="9" t="inlineStr">
        <is>
          <t>VENTA NETA ($)</t>
        </is>
      </c>
      <c r="F8" s="10" t="inlineStr">
        <is>
          <t>VENTA NETA ($)</t>
        </is>
      </c>
    </row>
    <row r="9" ht="18" customHeight="1">
      <c r="C9" s="15" t="n">
        <v>42970183</v>
      </c>
      <c r="D9" s="16" t="n">
        <v>24526103</v>
      </c>
      <c r="E9" s="17" t="n">
        <v>10683291</v>
      </c>
      <c r="F9" s="18" t="n">
        <v>10683291</v>
      </c>
    </row>
    <row r="10" ht="28" customHeight="1">
      <c r="C10" s="7" t="inlineStr">
        <is>
          <t>COMISIÓN ($)</t>
        </is>
      </c>
      <c r="D10" s="8" t="inlineStr">
        <is>
          <t>COMISIÓN ($)</t>
        </is>
      </c>
      <c r="E10" s="9" t="inlineStr">
        <is>
          <t>COMISIÓN ($)</t>
        </is>
      </c>
      <c r="F10" s="10" t="inlineStr">
        <is>
          <t>COMISIÓN ($)</t>
        </is>
      </c>
    </row>
    <row r="11" ht="18" customHeight="1">
      <c r="C11" s="19" t="n">
        <v>1838539.58</v>
      </c>
      <c r="D11" s="20" t="n">
        <v>1135811.2</v>
      </c>
      <c r="E11" s="21" t="n">
        <v>274014.63</v>
      </c>
      <c r="F11" s="22" t="n">
        <v>274014.63</v>
      </c>
    </row>
    <row r="12" ht="28" customHeight="1">
      <c r="C12" s="7" t="inlineStr">
        <is>
          <t>% COMISIÓN / VENTA</t>
        </is>
      </c>
      <c r="D12" s="8" t="inlineStr">
        <is>
          <t>% COMISIÓN / VENTA</t>
        </is>
      </c>
      <c r="E12" s="9" t="inlineStr">
        <is>
          <t>% COMISIÓN / VENTA</t>
        </is>
      </c>
      <c r="F12" s="10" t="inlineStr">
        <is>
          <t>% COMISIÓN / VENTA</t>
        </is>
      </c>
    </row>
    <row r="13" ht="18" customHeight="1">
      <c r="C13" s="23">
        <f>C11/C9</f>
        <v/>
      </c>
      <c r="D13" s="24">
        <f>D11/D9</f>
        <v/>
      </c>
      <c r="E13" s="25">
        <f>E11/E9</f>
        <v/>
      </c>
      <c r="F13" s="26">
        <f>F11/F9</f>
        <v/>
      </c>
    </row>
    <row r="14" ht="28" customHeight="1"/>
    <row r="15" ht="10" customHeight="1"/>
    <row r="16" ht="20" customHeight="1">
      <c r="B16" s="2" t="inlineStr">
        <is>
          <t xml:space="preserve">  TABLA COMPARATIVA</t>
        </is>
      </c>
    </row>
    <row r="17" ht="20" customHeight="1">
      <c r="B17" s="27" t="inlineStr">
        <is>
          <t>Vendedor</t>
        </is>
      </c>
      <c r="C17" s="27" t="inlineStr">
        <is>
          <t>Período</t>
        </is>
      </c>
      <c r="D17" s="27" t="inlineStr">
        <is>
          <t>Venta Neta ($)</t>
        </is>
      </c>
      <c r="E17" s="27" t="inlineStr">
        <is>
          <t>Comisión ($)</t>
        </is>
      </c>
      <c r="F17" s="27" t="inlineStr">
        <is>
          <t>% Comisión</t>
        </is>
      </c>
    </row>
    <row r="18" ht="18" customHeight="1">
      <c r="B18" s="28" t="inlineStr">
        <is>
          <t>Katherine Gahona</t>
        </is>
      </c>
      <c r="C18" s="29" t="inlineStr">
        <is>
          <t>01/05 – 29/05</t>
        </is>
      </c>
      <c r="D18" s="30" t="n">
        <v>42970183</v>
      </c>
      <c r="E18" s="30" t="n">
        <v>1838539.58</v>
      </c>
      <c r="F18" s="31">
        <f>E18/D18</f>
        <v/>
      </c>
    </row>
    <row r="19" ht="18" customHeight="1">
      <c r="B19" s="32" t="inlineStr">
        <is>
          <t>Pablo Farizo</t>
        </is>
      </c>
      <c r="C19" s="33" t="inlineStr">
        <is>
          <t>01/05 – 28/05</t>
        </is>
      </c>
      <c r="D19" s="34" t="n">
        <v>24526103</v>
      </c>
      <c r="E19" s="34" t="n">
        <v>1135811.2</v>
      </c>
      <c r="F19" s="35">
        <f>E19/D19</f>
        <v/>
      </c>
    </row>
    <row r="20" ht="18" customHeight="1">
      <c r="B20" s="36" t="inlineStr">
        <is>
          <t>Jaime</t>
        </is>
      </c>
      <c r="C20" s="37" t="inlineStr">
        <is>
          <t>01/05 – 31/05</t>
        </is>
      </c>
      <c r="D20" s="38" t="n">
        <v>10683291</v>
      </c>
      <c r="E20" s="38" t="n">
        <v>274014.63</v>
      </c>
      <c r="F20" s="39">
        <f>E20/D20</f>
        <v/>
      </c>
    </row>
    <row r="21" ht="18" customHeight="1">
      <c r="B21" s="40" t="inlineStr">
        <is>
          <t>Niko</t>
        </is>
      </c>
      <c r="C21" s="41" t="inlineStr">
        <is>
          <t>01/05 – 31/05</t>
        </is>
      </c>
      <c r="D21" s="42" t="n">
        <v>10683291</v>
      </c>
      <c r="E21" s="42" t="n">
        <v>274014.63</v>
      </c>
      <c r="F21" s="43">
        <f>E21/D21</f>
        <v/>
      </c>
    </row>
    <row r="22" ht="22" customHeight="1">
      <c r="B22" s="44" t="inlineStr">
        <is>
          <t>TOTAL</t>
        </is>
      </c>
      <c r="C22" s="45" t="inlineStr"/>
      <c r="D22" s="46">
        <f>SUM(D18:D21)</f>
        <v/>
      </c>
      <c r="E22" s="46">
        <f>SUM(E18:E21)</f>
        <v/>
      </c>
      <c r="F22" s="47">
        <f>E22/D22</f>
        <v/>
      </c>
    </row>
    <row r="24" ht="20" customHeight="1">
      <c r="B24" s="2" t="inlineStr">
        <is>
          <t xml:space="preserve">  DESGLOSE DE COMISIÓN POR TIPO</t>
        </is>
      </c>
    </row>
    <row r="25" ht="20" customHeight="1">
      <c r="B25" s="27" t="inlineStr">
        <is>
          <t>Vendedor</t>
        </is>
      </c>
      <c r="C25" s="27" t="inlineStr">
        <is>
          <t>Arriendo ($)</t>
        </is>
      </c>
      <c r="D25" s="27" t="inlineStr">
        <is>
          <t>Venta Directa ($)</t>
        </is>
      </c>
      <c r="E25" s="27" t="inlineStr">
        <is>
          <t>Post Venta ($)</t>
        </is>
      </c>
      <c r="F25" s="27" t="inlineStr">
        <is>
          <t>Pendientes ($)</t>
        </is>
      </c>
      <c r="G25" s="27" t="inlineStr">
        <is>
          <t>TOTAL ($)</t>
        </is>
      </c>
    </row>
    <row r="26" ht="18" customHeight="1">
      <c r="B26" s="28" t="inlineStr">
        <is>
          <t>Katherine Gahona</t>
        </is>
      </c>
      <c r="C26" s="30" t="n">
        <v>570116.92</v>
      </c>
      <c r="D26" s="30" t="n">
        <v>1141290</v>
      </c>
      <c r="E26" s="48" t="inlineStr">
        <is>
          <t>-</t>
        </is>
      </c>
      <c r="F26" s="30" t="n">
        <v>127132.66</v>
      </c>
      <c r="G26" s="30" t="n">
        <v>1838539.58</v>
      </c>
    </row>
    <row r="27" ht="18" customHeight="1">
      <c r="B27" s="32" t="inlineStr">
        <is>
          <t>Pablo Farizo</t>
        </is>
      </c>
      <c r="C27" s="34" t="n">
        <v>197743</v>
      </c>
      <c r="D27" s="34" t="n">
        <v>324658.2</v>
      </c>
      <c r="E27" s="34" t="n">
        <v>613410</v>
      </c>
      <c r="F27" s="49" t="inlineStr">
        <is>
          <t>-</t>
        </is>
      </c>
      <c r="G27" s="34" t="n">
        <v>1135811.2</v>
      </c>
    </row>
    <row r="28" ht="18" customHeight="1">
      <c r="B28" s="36" t="inlineStr">
        <is>
          <t>Jaime</t>
        </is>
      </c>
      <c r="C28" s="50" t="inlineStr">
        <is>
          <t>-</t>
        </is>
      </c>
      <c r="D28" s="38" t="n">
        <v>274014.63</v>
      </c>
      <c r="E28" s="50" t="inlineStr">
        <is>
          <t>-</t>
        </is>
      </c>
      <c r="F28" s="50" t="inlineStr">
        <is>
          <t>-</t>
        </is>
      </c>
      <c r="G28" s="38" t="n">
        <v>274014.63</v>
      </c>
    </row>
    <row r="29" ht="18" customHeight="1">
      <c r="B29" s="40" t="inlineStr">
        <is>
          <t>Niko</t>
        </is>
      </c>
      <c r="C29" s="51" t="inlineStr">
        <is>
          <t>-</t>
        </is>
      </c>
      <c r="D29" s="42" t="n">
        <v>274014.63</v>
      </c>
      <c r="E29" s="51" t="inlineStr">
        <is>
          <t>-</t>
        </is>
      </c>
      <c r="F29" s="51" t="inlineStr">
        <is>
          <t>-</t>
        </is>
      </c>
      <c r="G29" s="42" t="n">
        <v>274014.63</v>
      </c>
    </row>
    <row r="30" ht="22" customHeight="1">
      <c r="B30" s="44" t="inlineStr">
        <is>
          <t>TOTAL</t>
        </is>
      </c>
      <c r="C30" s="46">
        <f>SUM(C26:C29)</f>
        <v/>
      </c>
      <c r="D30" s="46">
        <f>SUM(D26:D29)</f>
        <v/>
      </c>
      <c r="E30" s="46">
        <f>SUM(E26:E29)</f>
        <v/>
      </c>
      <c r="F30" s="46">
        <f>SUM(F26:F29)</f>
        <v/>
      </c>
      <c r="G30" s="46">
        <f>SUM(G26:G29)</f>
        <v/>
      </c>
    </row>
    <row r="48" ht="14" customHeight="1">
      <c r="B48" s="52" t="inlineStr">
        <is>
          <t>Fuente: Informe de ventas Livehome Mayo 2026.xlsx  |  Generado con Claude Code</t>
        </is>
      </c>
    </row>
  </sheetData>
  <mergeCells count="5">
    <mergeCell ref="B4:H4"/>
    <mergeCell ref="B24:H24"/>
    <mergeCell ref="B16:H16"/>
    <mergeCell ref="B2:H2"/>
    <mergeCell ref="B48:H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2026-06-08T15:32:39Z</dcterms:created>
  <dcterms:modified xsi:type="dcterms:W3CDTF">2026-06-08T15:32:39Z</dcterms:modified>
</cp:coreProperties>
</file>